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ngerlk-my.sharepoint.com/personal/dihank_singersl_com/Documents/Desktop/DIHAN/CREDIT SALES -TRACTORS/"/>
    </mc:Choice>
  </mc:AlternateContent>
  <xr:revisionPtr revIDLastSave="93" documentId="11_21454688365074CF3F2F49F6474AC9BCB426D48E" xr6:coauthVersionLast="47" xr6:coauthVersionMax="47" xr10:uidLastSave="{1ED55418-932C-468D-9551-02D39913AA1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<sst xmlns="http://schemas.openxmlformats.org/spreadsheetml/2006/main" count="456" uniqueCount="243">
  <si>
    <t>Area</t>
  </si>
  <si>
    <t>District</t>
  </si>
  <si>
    <t>Branch Code</t>
  </si>
  <si>
    <t>Branch Name</t>
  </si>
  <si>
    <t>Order No</t>
  </si>
  <si>
    <t>Category</t>
  </si>
  <si>
    <t>Customer No</t>
  </si>
  <si>
    <t>Name</t>
  </si>
  <si>
    <t>Sales Date</t>
  </si>
  <si>
    <t>Period</t>
  </si>
  <si>
    <t>Due Date</t>
  </si>
  <si>
    <t>Arrears Days As@ 2026.09.10</t>
  </si>
  <si>
    <t>Total Amount</t>
  </si>
  <si>
    <t>Open Amount</t>
  </si>
  <si>
    <t>Chassis Number</t>
  </si>
  <si>
    <t>Finance Company</t>
  </si>
  <si>
    <t>CR Status</t>
  </si>
  <si>
    <t>UVA</t>
  </si>
  <si>
    <t>MONARAGALA DISTRICT</t>
  </si>
  <si>
    <t>BDU01</t>
  </si>
  <si>
    <t>MONARAGALA</t>
  </si>
  <si>
    <t>BDU-R48827</t>
  </si>
  <si>
    <t>SSL</t>
  </si>
  <si>
    <t>772363869V</t>
  </si>
  <si>
    <t>Mr. E.M.LALITH</t>
  </si>
  <si>
    <t>0ASR801224029</t>
  </si>
  <si>
    <t>EAST</t>
  </si>
  <si>
    <t>POLONNARUWA DISTRICT</t>
  </si>
  <si>
    <t>BNJ01</t>
  </si>
  <si>
    <t>DIYASENAPURA</t>
  </si>
  <si>
    <t>BNJ-R8120</t>
  </si>
  <si>
    <t>820843045V</t>
  </si>
  <si>
    <t>Mr. K G WASANTHA KUMARA</t>
  </si>
  <si>
    <t>SFMCC001330</t>
  </si>
  <si>
    <t>SINGER FINANCE</t>
  </si>
  <si>
    <t>NORTH</t>
  </si>
  <si>
    <t>VAVUNIYA DISTRICT</t>
  </si>
  <si>
    <t>BOH01</t>
  </si>
  <si>
    <t>MALLAVI</t>
  </si>
  <si>
    <t>BOH-R7478</t>
  </si>
  <si>
    <t>Mr. MAHENTHIRAN PRABAKARAN</t>
  </si>
  <si>
    <t>1PY5047DPSA003411</t>
  </si>
  <si>
    <t xml:space="preserve">HNB </t>
  </si>
  <si>
    <t>COLOMBO SOUTH</t>
  </si>
  <si>
    <t>KALUTARA DISTRICT</t>
  </si>
  <si>
    <t>BFO01</t>
  </si>
  <si>
    <t>HORANA</t>
  </si>
  <si>
    <t>BFO-R99468</t>
  </si>
  <si>
    <t>821630835V</t>
  </si>
  <si>
    <t>Mr. W G S WELIKALA</t>
  </si>
  <si>
    <t>VSG1251025008</t>
  </si>
  <si>
    <t>WAYAMBA</t>
  </si>
  <si>
    <t>NIKAWARATIYA DISTRICT</t>
  </si>
  <si>
    <t>BNB01</t>
  </si>
  <si>
    <t>ABANPOLA</t>
  </si>
  <si>
    <t>BNB-R5241</t>
  </si>
  <si>
    <t>603462343V</t>
  </si>
  <si>
    <t>A,H PREMARATHNA</t>
  </si>
  <si>
    <t>SFMCC25070064</t>
  </si>
  <si>
    <t>BGQ01</t>
  </si>
  <si>
    <t>VAVUNIYA</t>
  </si>
  <si>
    <t>BGQ-R39968</t>
  </si>
  <si>
    <t>827074144V</t>
  </si>
  <si>
    <t>Mrs. MOHANARASHA PIRABAJINI</t>
  </si>
  <si>
    <t>1PY5045DLTD099682</t>
  </si>
  <si>
    <t>BNK01</t>
  </si>
  <si>
    <t>MULLAITIVU</t>
  </si>
  <si>
    <t>BNK-R22779</t>
  </si>
  <si>
    <t>771514103V</t>
  </si>
  <si>
    <t>Mr. Nallaiya Thavachchelvan</t>
  </si>
  <si>
    <t>MEDAWACHCHIYA DISTRICT</t>
  </si>
  <si>
    <t>BGH01</t>
  </si>
  <si>
    <t>KAHATAGASDIGILIYA</t>
  </si>
  <si>
    <t>BGH-R22426</t>
  </si>
  <si>
    <t>630383269X</t>
  </si>
  <si>
    <t>Mr. S. SIRIWARDHANA</t>
  </si>
  <si>
    <t>SFMCC25070057</t>
  </si>
  <si>
    <t>BOH-R7621</t>
  </si>
  <si>
    <t>962550908V</t>
  </si>
  <si>
    <t>Mrs. RATHEESKUMAAR MANOHAR</t>
  </si>
  <si>
    <t>1PY5047DATC003440</t>
  </si>
  <si>
    <t>BGH-R22747</t>
  </si>
  <si>
    <t>640124342V</t>
  </si>
  <si>
    <t>Mr. K ILANGARATHNA</t>
  </si>
  <si>
    <t>VSG1250126088</t>
  </si>
  <si>
    <t>CR NOT RECEIVED</t>
  </si>
  <si>
    <t>BGH-R22751</t>
  </si>
  <si>
    <t>921141432V</t>
  </si>
  <si>
    <t>Mr. R.O.P.G RASIKA SAMPATH WIMALASENA</t>
  </si>
  <si>
    <t>VSG1250126090</t>
  </si>
  <si>
    <t>DAMBULLA DISTRICT</t>
  </si>
  <si>
    <t>BNR01</t>
  </si>
  <si>
    <t>TRINCOMALEE B</t>
  </si>
  <si>
    <t>BNR-R18063</t>
  </si>
  <si>
    <t>Mr. KANESAPILLAI KUHAN</t>
  </si>
  <si>
    <t>VSG1250126021</t>
  </si>
  <si>
    <t>BNK-R22989</t>
  </si>
  <si>
    <t>Mr. RAJENTHIRAN SENTHURAN</t>
  </si>
  <si>
    <t>1P5045DCSA097510</t>
  </si>
  <si>
    <t>LOLC FINANCE</t>
  </si>
  <si>
    <t>BGQ-R40496</t>
  </si>
  <si>
    <t>665884023V</t>
  </si>
  <si>
    <t>Mrs. RAMU VIJEYALUXMI</t>
  </si>
  <si>
    <t>1PY5047DETF003490</t>
  </si>
  <si>
    <t>BDY01</t>
  </si>
  <si>
    <t>WELIKANDA</t>
  </si>
  <si>
    <t>BDY-R13401</t>
  </si>
  <si>
    <t>917993416V</t>
  </si>
  <si>
    <t>Mrs. N A IRESHA MADHUNAMALI</t>
  </si>
  <si>
    <t>VSG1251025064</t>
  </si>
  <si>
    <t>BHK01</t>
  </si>
  <si>
    <t>KANTALAI</t>
  </si>
  <si>
    <t>BHK-R30592</t>
  </si>
  <si>
    <t>741041170V</t>
  </si>
  <si>
    <t>D M MADDUMA BANDARA</t>
  </si>
  <si>
    <t>VSG1250126020</t>
  </si>
  <si>
    <t>BKV01</t>
  </si>
  <si>
    <t>BAKAMOONA</t>
  </si>
  <si>
    <t>BKV-R22789</t>
  </si>
  <si>
    <t>Mr. T G CHANUKA DILSHAN WICKRAMASURIYA</t>
  </si>
  <si>
    <t>SFMCC25070096</t>
  </si>
  <si>
    <t>BKV-R22790</t>
  </si>
  <si>
    <t>940662850V</t>
  </si>
  <si>
    <t>Mr. S.G.ISURU SAMPATH SUDARSHANA HERATH</t>
  </si>
  <si>
    <t>VSG1251125183</t>
  </si>
  <si>
    <t>BDZ01</t>
  </si>
  <si>
    <t>HINGURAKGODA</t>
  </si>
  <si>
    <t>BDZ-R36335</t>
  </si>
  <si>
    <t>981613350V</t>
  </si>
  <si>
    <t>H.A.NELAN</t>
  </si>
  <si>
    <t>VSG1250126089</t>
  </si>
  <si>
    <t>COMMERCIAL BANK</t>
  </si>
  <si>
    <t>MAHIYANGANA DISTRICT</t>
  </si>
  <si>
    <t>BEA01</t>
  </si>
  <si>
    <t>DEHIATTAKANDIYA</t>
  </si>
  <si>
    <t>BEA-R36660</t>
  </si>
  <si>
    <t>766640761V</t>
  </si>
  <si>
    <t>Miss. W.M.SWARNALATHA WANASINGHA</t>
  </si>
  <si>
    <t>VSG1250126067</t>
  </si>
  <si>
    <t>BOO01</t>
  </si>
  <si>
    <t>NAWA MEDAGAMA</t>
  </si>
  <si>
    <t>BOO-R2002</t>
  </si>
  <si>
    <t>Mr. A.W.G.AMILA RUKSHAN</t>
  </si>
  <si>
    <t>VSG1251025089</t>
  </si>
  <si>
    <t>BKV-R22655</t>
  </si>
  <si>
    <t>915800106V</t>
  </si>
  <si>
    <t>Mrs. U G LAKSHANI RANDIKA</t>
  </si>
  <si>
    <t>VSG1251125098</t>
  </si>
  <si>
    <t>BKV-R22680</t>
  </si>
  <si>
    <t>862412427V</t>
  </si>
  <si>
    <t>Mr. K.A.W.NAYANAJITH</t>
  </si>
  <si>
    <t xml:space="preserve"> VSG1250126099</t>
  </si>
  <si>
    <t>BHO01</t>
  </si>
  <si>
    <t>KEKIRAWA</t>
  </si>
  <si>
    <t>BHO-R43251</t>
  </si>
  <si>
    <t>713083038V</t>
  </si>
  <si>
    <t>Mr. R.M AJITH ROHANA</t>
  </si>
  <si>
    <t>BKS01</t>
  </si>
  <si>
    <t>JAYANTHIPURA</t>
  </si>
  <si>
    <t>BKS-R13676</t>
  </si>
  <si>
    <t>963313594V</t>
  </si>
  <si>
    <t>Mrs. S.A.TIWANKA MADHUSHAN</t>
  </si>
  <si>
    <t>VSG1251125182</t>
  </si>
  <si>
    <t>ANURADHAPURA DISTRICT</t>
  </si>
  <si>
    <t>BGL01</t>
  </si>
  <si>
    <t>THALAWA</t>
  </si>
  <si>
    <t>BGL-R15759</t>
  </si>
  <si>
    <t>593342174V</t>
  </si>
  <si>
    <t>Mr. K.KAPURUBANDA</t>
  </si>
  <si>
    <t>VSG800126014</t>
  </si>
  <si>
    <t>BEA-R36659</t>
  </si>
  <si>
    <t>728510080V</t>
  </si>
  <si>
    <t>Ms. M G MALLIKA</t>
  </si>
  <si>
    <t>VSG1251125138</t>
  </si>
  <si>
    <t>BEC01</t>
  </si>
  <si>
    <t>GIRANDURUKOTTE</t>
  </si>
  <si>
    <t>BEC-R27402</t>
  </si>
  <si>
    <t>Mr. R.M SANJEEWA KUMARA R.M SANJEEWA</t>
  </si>
  <si>
    <t>1PY5047DVSA003396</t>
  </si>
  <si>
    <t>BLE01</t>
  </si>
  <si>
    <t>HOROWPATHANA</t>
  </si>
  <si>
    <t>BLE-R24617</t>
  </si>
  <si>
    <t>692713656V</t>
  </si>
  <si>
    <t>Mr. U.K. ANANDA JAYARATHNA</t>
  </si>
  <si>
    <t>1PY5047DKTF003527</t>
  </si>
  <si>
    <t>BOB01</t>
  </si>
  <si>
    <t>PARAKRAMAPURA</t>
  </si>
  <si>
    <t>BOB-R16303</t>
  </si>
  <si>
    <t>211103524V</t>
  </si>
  <si>
    <t>T.K SACHINDU PABASARA</t>
  </si>
  <si>
    <t>1PY5047DPTF003493</t>
  </si>
  <si>
    <t>BNC01</t>
  </si>
  <si>
    <t>POLPITHIGAMA</t>
  </si>
  <si>
    <t>BNC-R10609</t>
  </si>
  <si>
    <t>715863162V</t>
  </si>
  <si>
    <t>R.M.SWARNALATHA MENIKE</t>
  </si>
  <si>
    <t>VSG1251125114</t>
  </si>
  <si>
    <t>BKT01</t>
  </si>
  <si>
    <t>DIYABEDUMA</t>
  </si>
  <si>
    <t>BKT-R11832</t>
  </si>
  <si>
    <t>742083896V</t>
  </si>
  <si>
    <t>Mr. Ihala Gedara Nimal Ranathunga</t>
  </si>
  <si>
    <t>VSG1251025062</t>
  </si>
  <si>
    <t>MATALE DISTRICT</t>
  </si>
  <si>
    <t>BBW01</t>
  </si>
  <si>
    <t>MELSIRIPURA</t>
  </si>
  <si>
    <t>BBW-R30092</t>
  </si>
  <si>
    <t>690454513V</t>
  </si>
  <si>
    <t>Mr. P.W.M.MIHIDUKULA BANDA.</t>
  </si>
  <si>
    <t>SFMCC25070084</t>
  </si>
  <si>
    <t xml:space="preserve">SENT FOR CORRECTIONS </t>
  </si>
  <si>
    <t>BEC-R27173</t>
  </si>
  <si>
    <t>960151321V</t>
  </si>
  <si>
    <t>Mr. D.M.INDIKA SAMAN KUMARA</t>
  </si>
  <si>
    <t>VSG1251025088</t>
  </si>
  <si>
    <t>BJY01</t>
  </si>
  <si>
    <t>MEDIRIGIRIYA</t>
  </si>
  <si>
    <t>BJY-R25029</t>
  </si>
  <si>
    <t>988032409V</t>
  </si>
  <si>
    <t>Miss. R D THARUSHI DHANUSHKA</t>
  </si>
  <si>
    <t>VSG1251125109</t>
  </si>
  <si>
    <t>KURUNEGALA DISTRICT</t>
  </si>
  <si>
    <t>BOK01</t>
  </si>
  <si>
    <t>KURUNEGALA C</t>
  </si>
  <si>
    <t>BOK-R26740</t>
  </si>
  <si>
    <t>676981144V</t>
  </si>
  <si>
    <t>Miss. ASOKA PREMAKANTHI</t>
  </si>
  <si>
    <t>VSG1251125078</t>
  </si>
  <si>
    <t>SCL01</t>
  </si>
  <si>
    <t>NIKAWARATIYA - B</t>
  </si>
  <si>
    <t>SCL-R11524</t>
  </si>
  <si>
    <t>731891281V</t>
  </si>
  <si>
    <t>Mr. P M M W SAMARASEKARA</t>
  </si>
  <si>
    <t>VSG1251125111</t>
  </si>
  <si>
    <t>Payment Status</t>
  </si>
  <si>
    <t>CR SENT TO SHOP</t>
  </si>
  <si>
    <t>SETTLED</t>
  </si>
  <si>
    <t>STATUS PENDING</t>
  </si>
  <si>
    <t>Commercial Bank of PLC</t>
  </si>
  <si>
    <t>CR RECEIVED TO SLMO</t>
  </si>
  <si>
    <t xml:space="preserve">CR SENT FOR CORRECTIONS </t>
  </si>
  <si>
    <t>CR SENT TO SFL</t>
  </si>
  <si>
    <t>NOT SETTLED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</si>
</sst>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* #,##0.00_ ;_ * \-#,##0.00_ ;_ * &quot;-&quot;??_ ;_ @_ "/>
    <numFmt numFmtId="166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.6"/>
      <color rgb="FF00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5" fontId="5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4" fontId="2" fillId="2" borderId="1" xfId="0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1" applyNumberFormat="1" applyFont="1" applyFill="1" applyBorder="1" applyAlignment="1">
      <alignment horizontal="left" vertical="center" wrapText="1"/>
    </xf>
    <xf numFmtId="166" fontId="2" fillId="2" borderId="1" xfId="1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14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left"/>
    </xf>
    <xf numFmtId="166" fontId="3" fillId="3" borderId="1" xfId="1" applyNumberFormat="1" applyFont="1" applyFill="1" applyBorder="1" applyAlignment="1">
      <alignment horizontal="left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1" fillId="0" borderId="1" xfId="0" applyFont="1" applyBorder="1">
      <alignment vertic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8"/>
  <sheetViews>
    <sheetView tabSelected="1" workbookViewId="0"/>
  </sheetViews>
  <sheetFormatPr defaultColWidth="8.7265625" defaultRowHeight="14.5"/>
  <cols>
    <col min="1" max="1" width="17.54296875" customWidth="1"/>
    <col min="2" max="2" width="27" customWidth="1"/>
    <col min="3" max="3" width="12.36328125" customWidth="1"/>
    <col min="4" max="4" width="20.08984375" customWidth="1"/>
    <col min="5" max="5" width="12.6328125" customWidth="1"/>
    <col min="6" max="6" width="9" hidden="1" customWidth="1"/>
    <col min="7" max="7" width="12.90625" hidden="1" customWidth="1"/>
    <col min="8" max="8" width="45.36328125" hidden="1" customWidth="1"/>
    <col min="9" max="9" width="11.36328125" hidden="1" customWidth="1"/>
    <col min="10" max="10" width="6.08984375" hidden="1" customWidth="1"/>
    <col min="11" max="12" width="10.26953125" hidden="1" customWidth="1"/>
    <col min="13" max="13" width="8.7265625" hidden="1" customWidth="1"/>
    <col min="14" max="14" width="14.54296875" hidden="1" customWidth="1"/>
    <col min="15" max="15" width="14.81640625" hidden="1" customWidth="1"/>
    <col min="16" max="16" width="20.90625" hidden="1" customWidth="1"/>
    <col min="17" max="17" width="21.08984375" hidden="1" customWidth="1"/>
    <col min="18" max="18" width="23.81640625" hidden="1" customWidth="1"/>
    <col min="19" max="19" width="13.90625" customWidth="1"/>
  </cols>
  <sheetData>
    <row r="1" spans="1:19" ht="7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5">
        <v>46275</v>
      </c>
      <c r="M1" s="6" t="s">
        <v>11</v>
      </c>
      <c r="N1" s="7" t="s">
        <v>12</v>
      </c>
      <c r="O1" s="7" t="s">
        <v>13</v>
      </c>
      <c r="P1" s="8" t="s">
        <v>14</v>
      </c>
      <c r="Q1" s="8" t="s">
        <v>15</v>
      </c>
      <c r="R1" s="8" t="s">
        <v>16</v>
      </c>
      <c r="S1" s="1" t="s">
        <v>234</v>
      </c>
    </row>
    <row r="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9">
        <v>46022</v>
      </c>
      <c r="J2" s="10">
        <v>60</v>
      </c>
      <c r="K2" s="9">
        <v>46082</v>
      </c>
      <c r="L2" s="11">
        <v>46275</v>
      </c>
      <c r="M2" s="10">
        <f t="shared" ref="M2:M38" si="0">L2-K2</f>
        <v>193</v>
      </c>
      <c r="N2" s="12">
        <v>1079979</v>
      </c>
      <c r="O2" s="13">
        <v>1079979</v>
      </c>
      <c r="P2" s="14" t="s">
        <v>25</v>
      </c>
      <c r="Q2" s="16" t="s">
        <v>237</v>
      </c>
      <c r="R2" s="16" t="s">
        <v>237</v>
      </c>
      <c r="S2" s="16" t="s">
        <v>242</v>
      </c>
    </row>
    <row r="3" spans="1:19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22</v>
      </c>
      <c r="G3" s="2" t="s">
        <v>31</v>
      </c>
      <c r="H3" s="2" t="s">
        <v>32</v>
      </c>
      <c r="I3" s="9">
        <v>46049</v>
      </c>
      <c r="J3" s="10">
        <v>90</v>
      </c>
      <c r="K3" s="9">
        <v>46139</v>
      </c>
      <c r="L3" s="11">
        <v>46275</v>
      </c>
      <c r="M3" s="10">
        <f t="shared" si="0"/>
        <v>136</v>
      </c>
      <c r="N3" s="12">
        <v>810030</v>
      </c>
      <c r="O3" s="13">
        <v>810030</v>
      </c>
      <c r="P3" s="14" t="s">
        <v>33</v>
      </c>
      <c r="Q3" s="8" t="s">
        <v>34</v>
      </c>
      <c r="R3" s="16" t="s">
        <v>240</v>
      </c>
      <c r="S3" s="16" t="s">
        <v>242</v>
      </c>
    </row>
    <row r="4" spans="1:19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22</v>
      </c>
      <c r="G4" s="2">
        <v>9708410055</v>
      </c>
      <c r="H4" s="2" t="s">
        <v>40</v>
      </c>
      <c r="I4" s="9">
        <v>46081</v>
      </c>
      <c r="J4" s="10">
        <v>60</v>
      </c>
      <c r="K4" s="9">
        <v>46141</v>
      </c>
      <c r="L4" s="11">
        <v>46275</v>
      </c>
      <c r="M4" s="10">
        <f t="shared" si="0"/>
        <v>134</v>
      </c>
      <c r="N4" s="12">
        <v>5619999</v>
      </c>
      <c r="O4" s="13">
        <v>3969999</v>
      </c>
      <c r="P4" s="14" t="s">
        <v>41</v>
      </c>
      <c r="Q4" s="8" t="s">
        <v>42</v>
      </c>
      <c r="R4" s="16" t="s">
        <v>237</v>
      </c>
      <c r="S4" s="16" t="s">
        <v>242</v>
      </c>
    </row>
    <row r="5" spans="1:19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22</v>
      </c>
      <c r="G5" s="2" t="s">
        <v>48</v>
      </c>
      <c r="H5" s="2" t="s">
        <v>49</v>
      </c>
      <c r="I5" s="9">
        <v>46053</v>
      </c>
      <c r="J5" s="10">
        <v>90</v>
      </c>
      <c r="K5" s="9">
        <v>46143</v>
      </c>
      <c r="L5" s="11">
        <v>46275</v>
      </c>
      <c r="M5" s="10">
        <f t="shared" si="0"/>
        <v>132</v>
      </c>
      <c r="N5" s="12">
        <v>1189999</v>
      </c>
      <c r="O5" s="13">
        <v>1189999</v>
      </c>
      <c r="P5" s="14" t="s">
        <v>50</v>
      </c>
      <c r="Q5" s="8" t="s">
        <v>34</v>
      </c>
      <c r="R5" s="16" t="s">
        <v>239</v>
      </c>
      <c r="S5" s="16" t="s">
        <v>236</v>
      </c>
    </row>
    <row r="6" spans="1:19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22</v>
      </c>
      <c r="G6" s="2" t="s">
        <v>56</v>
      </c>
      <c r="H6" s="2" t="s">
        <v>57</v>
      </c>
      <c r="I6" s="9">
        <v>46053</v>
      </c>
      <c r="J6" s="10">
        <v>90</v>
      </c>
      <c r="K6" s="9">
        <v>46143</v>
      </c>
      <c r="L6" s="11">
        <v>46275</v>
      </c>
      <c r="M6" s="10">
        <f t="shared" si="0"/>
        <v>132</v>
      </c>
      <c r="N6" s="12">
        <v>975000</v>
      </c>
      <c r="O6" s="13">
        <v>975000</v>
      </c>
      <c r="P6" s="14" t="s">
        <v>58</v>
      </c>
      <c r="Q6" s="16" t="s">
        <v>237</v>
      </c>
      <c r="R6" s="16" t="s">
        <v>237</v>
      </c>
      <c r="S6" s="16" t="s">
        <v>242</v>
      </c>
    </row>
    <row r="7" spans="1:19">
      <c r="A7" s="2" t="s">
        <v>35</v>
      </c>
      <c r="B7" s="2" t="s">
        <v>36</v>
      </c>
      <c r="C7" s="2" t="s">
        <v>59</v>
      </c>
      <c r="D7" s="2" t="s">
        <v>60</v>
      </c>
      <c r="E7" s="2" t="s">
        <v>61</v>
      </c>
      <c r="F7" s="2" t="s">
        <v>22</v>
      </c>
      <c r="G7" s="2" t="s">
        <v>62</v>
      </c>
      <c r="H7" s="2" t="s">
        <v>63</v>
      </c>
      <c r="I7" s="9">
        <v>46112</v>
      </c>
      <c r="J7" s="10">
        <v>45</v>
      </c>
      <c r="K7" s="9">
        <v>46157</v>
      </c>
      <c r="L7" s="11">
        <v>46275</v>
      </c>
      <c r="M7" s="10">
        <f t="shared" si="0"/>
        <v>118</v>
      </c>
      <c r="N7" s="12">
        <v>7370000</v>
      </c>
      <c r="O7" s="13">
        <v>3370000</v>
      </c>
      <c r="P7" s="14" t="s">
        <v>64</v>
      </c>
      <c r="Q7" s="8" t="s">
        <v>238</v>
      </c>
      <c r="R7" s="16" t="s">
        <v>235</v>
      </c>
      <c r="S7" s="16" t="s">
        <v>236</v>
      </c>
    </row>
    <row r="8" spans="1:19">
      <c r="A8" s="2" t="s">
        <v>35</v>
      </c>
      <c r="B8" s="2" t="s">
        <v>36</v>
      </c>
      <c r="C8" s="2" t="s">
        <v>65</v>
      </c>
      <c r="D8" s="2" t="s">
        <v>66</v>
      </c>
      <c r="E8" s="2" t="s">
        <v>67</v>
      </c>
      <c r="F8" s="2" t="s">
        <v>22</v>
      </c>
      <c r="G8" s="2" t="s">
        <v>68</v>
      </c>
      <c r="H8" s="2" t="s">
        <v>69</v>
      </c>
      <c r="I8" s="9">
        <v>46109</v>
      </c>
      <c r="J8" s="10">
        <v>60</v>
      </c>
      <c r="K8" s="9">
        <v>46169</v>
      </c>
      <c r="L8" s="11">
        <v>46275</v>
      </c>
      <c r="M8" s="10">
        <f t="shared" si="0"/>
        <v>106</v>
      </c>
      <c r="N8" s="12">
        <v>5619999</v>
      </c>
      <c r="O8" s="13">
        <v>3619999</v>
      </c>
      <c r="P8" s="14" t="s">
        <v>237</v>
      </c>
      <c r="Q8" s="8" t="s">
        <v>42</v>
      </c>
      <c r="R8" s="16" t="s">
        <v>237</v>
      </c>
      <c r="S8" s="16" t="s">
        <v>242</v>
      </c>
    </row>
    <row r="9" spans="1:19">
      <c r="A9" s="2" t="s">
        <v>35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22</v>
      </c>
      <c r="G9" s="2" t="s">
        <v>74</v>
      </c>
      <c r="H9" s="2" t="s">
        <v>75</v>
      </c>
      <c r="I9" s="9">
        <v>46111</v>
      </c>
      <c r="J9" s="10">
        <v>60</v>
      </c>
      <c r="K9" s="9">
        <v>46171</v>
      </c>
      <c r="L9" s="11">
        <v>46275</v>
      </c>
      <c r="M9" s="10">
        <f t="shared" si="0"/>
        <v>104</v>
      </c>
      <c r="N9" s="12">
        <v>975000</v>
      </c>
      <c r="O9" s="13">
        <v>975000</v>
      </c>
      <c r="P9" s="14" t="s">
        <v>76</v>
      </c>
      <c r="Q9" s="8" t="s">
        <v>34</v>
      </c>
      <c r="R9" s="16" t="s">
        <v>237</v>
      </c>
      <c r="S9" s="16" t="s">
        <v>236</v>
      </c>
    </row>
    <row r="10" spans="1:19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77</v>
      </c>
      <c r="F10" s="2" t="s">
        <v>22</v>
      </c>
      <c r="G10" s="2" t="s">
        <v>78</v>
      </c>
      <c r="H10" s="2" t="s">
        <v>79</v>
      </c>
      <c r="I10" s="9">
        <v>46112</v>
      </c>
      <c r="J10" s="10">
        <v>60</v>
      </c>
      <c r="K10" s="9">
        <v>46172</v>
      </c>
      <c r="L10" s="11">
        <v>46275</v>
      </c>
      <c r="M10" s="10">
        <f t="shared" si="0"/>
        <v>103</v>
      </c>
      <c r="N10" s="12">
        <v>5619999</v>
      </c>
      <c r="O10" s="13">
        <v>2069999</v>
      </c>
      <c r="P10" s="14" t="s">
        <v>80</v>
      </c>
      <c r="Q10" s="8" t="s">
        <v>42</v>
      </c>
      <c r="R10" s="16" t="s">
        <v>237</v>
      </c>
      <c r="S10" s="16" t="s">
        <v>236</v>
      </c>
    </row>
    <row r="11" spans="1:19">
      <c r="A11" s="2" t="s">
        <v>35</v>
      </c>
      <c r="B11" s="2" t="s">
        <v>70</v>
      </c>
      <c r="C11" s="2" t="s">
        <v>71</v>
      </c>
      <c r="D11" s="2" t="s">
        <v>72</v>
      </c>
      <c r="E11" s="2" t="s">
        <v>81</v>
      </c>
      <c r="F11" s="2" t="s">
        <v>22</v>
      </c>
      <c r="G11" s="2" t="s">
        <v>82</v>
      </c>
      <c r="H11" s="2" t="s">
        <v>83</v>
      </c>
      <c r="I11" s="9">
        <v>46140</v>
      </c>
      <c r="J11" s="10">
        <v>60</v>
      </c>
      <c r="K11" s="9">
        <v>46200</v>
      </c>
      <c r="L11" s="11">
        <v>46275</v>
      </c>
      <c r="M11" s="10">
        <f t="shared" si="0"/>
        <v>75</v>
      </c>
      <c r="N11" s="12">
        <v>1189999</v>
      </c>
      <c r="O11" s="13">
        <v>1189999</v>
      </c>
      <c r="P11" s="14" t="s">
        <v>84</v>
      </c>
      <c r="Q11" s="8" t="s">
        <v>34</v>
      </c>
      <c r="R11" s="8" t="s">
        <v>85</v>
      </c>
      <c r="S11" s="16" t="s">
        <v>242</v>
      </c>
    </row>
    <row r="12" spans="1:19">
      <c r="A12" s="2" t="s">
        <v>35</v>
      </c>
      <c r="B12" s="2" t="s">
        <v>70</v>
      </c>
      <c r="C12" s="2" t="s">
        <v>71</v>
      </c>
      <c r="D12" s="2" t="s">
        <v>72</v>
      </c>
      <c r="E12" s="2" t="s">
        <v>86</v>
      </c>
      <c r="F12" s="2" t="s">
        <v>22</v>
      </c>
      <c r="G12" s="2" t="s">
        <v>87</v>
      </c>
      <c r="H12" s="2" t="s">
        <v>88</v>
      </c>
      <c r="I12" s="9">
        <v>46140</v>
      </c>
      <c r="J12" s="10">
        <v>60</v>
      </c>
      <c r="K12" s="9">
        <v>46200</v>
      </c>
      <c r="L12" s="11">
        <v>46275</v>
      </c>
      <c r="M12" s="10">
        <f t="shared" si="0"/>
        <v>75</v>
      </c>
      <c r="N12" s="12">
        <v>1189999</v>
      </c>
      <c r="O12" s="13">
        <v>1189999</v>
      </c>
      <c r="P12" s="14" t="s">
        <v>89</v>
      </c>
      <c r="Q12" s="8" t="s">
        <v>34</v>
      </c>
      <c r="R12" s="16" t="s">
        <v>235</v>
      </c>
      <c r="S12" s="16" t="s">
        <v>242</v>
      </c>
    </row>
    <row r="13" spans="1:19">
      <c r="A13" s="2" t="s">
        <v>26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22</v>
      </c>
      <c r="G13" s="2">
        <v>7712004155</v>
      </c>
      <c r="H13" s="2" t="s">
        <v>94</v>
      </c>
      <c r="I13" s="9">
        <v>46112</v>
      </c>
      <c r="J13" s="10">
        <v>90</v>
      </c>
      <c r="K13" s="9">
        <v>46202</v>
      </c>
      <c r="L13" s="11">
        <v>46275</v>
      </c>
      <c r="M13" s="10">
        <f t="shared" si="0"/>
        <v>73</v>
      </c>
      <c r="N13" s="12">
        <v>1189999</v>
      </c>
      <c r="O13" s="13">
        <v>1189999</v>
      </c>
      <c r="P13" s="14" t="s">
        <v>95</v>
      </c>
      <c r="Q13" s="8" t="s">
        <v>34</v>
      </c>
      <c r="R13" s="16" t="s">
        <v>235</v>
      </c>
      <c r="S13" s="16" t="s">
        <v>236</v>
      </c>
    </row>
    <row r="14" spans="1:19">
      <c r="A14" s="2" t="s">
        <v>35</v>
      </c>
      <c r="B14" s="2" t="s">
        <v>36</v>
      </c>
      <c r="C14" s="2" t="s">
        <v>65</v>
      </c>
      <c r="D14" s="2" t="s">
        <v>66</v>
      </c>
      <c r="E14" s="2" t="s">
        <v>96</v>
      </c>
      <c r="F14" s="2" t="s">
        <v>22</v>
      </c>
      <c r="G14" s="2">
        <v>9421100154</v>
      </c>
      <c r="H14" s="2" t="s">
        <v>97</v>
      </c>
      <c r="I14" s="9">
        <v>46142</v>
      </c>
      <c r="J14" s="10">
        <v>60</v>
      </c>
      <c r="K14" s="9">
        <v>46202</v>
      </c>
      <c r="L14" s="11">
        <v>46275</v>
      </c>
      <c r="M14" s="10">
        <f t="shared" si="0"/>
        <v>73</v>
      </c>
      <c r="N14" s="12">
        <v>7370000</v>
      </c>
      <c r="O14" s="13">
        <v>7370000</v>
      </c>
      <c r="P14" s="14" t="s">
        <v>98</v>
      </c>
      <c r="Q14" s="8" t="s">
        <v>99</v>
      </c>
      <c r="R14" s="8" t="s">
        <v>85</v>
      </c>
      <c r="S14" s="16" t="s">
        <v>242</v>
      </c>
    </row>
    <row r="15" spans="1:19">
      <c r="A15" s="2" t="s">
        <v>35</v>
      </c>
      <c r="B15" s="2" t="s">
        <v>36</v>
      </c>
      <c r="C15" s="2" t="s">
        <v>59</v>
      </c>
      <c r="D15" s="2" t="s">
        <v>60</v>
      </c>
      <c r="E15" s="2" t="s">
        <v>100</v>
      </c>
      <c r="F15" s="2" t="s">
        <v>22</v>
      </c>
      <c r="G15" s="2" t="s">
        <v>101</v>
      </c>
      <c r="H15" s="2" t="s">
        <v>102</v>
      </c>
      <c r="I15" s="9">
        <v>46173</v>
      </c>
      <c r="J15" s="10">
        <v>45</v>
      </c>
      <c r="K15" s="9">
        <v>46218</v>
      </c>
      <c r="L15" s="11">
        <v>46275</v>
      </c>
      <c r="M15" s="10">
        <f t="shared" si="0"/>
        <v>57</v>
      </c>
      <c r="N15" s="12">
        <v>5619999</v>
      </c>
      <c r="O15" s="13">
        <v>2669999</v>
      </c>
      <c r="P15" s="14" t="s">
        <v>103</v>
      </c>
      <c r="Q15" s="8" t="s">
        <v>34</v>
      </c>
      <c r="R15" s="8" t="s">
        <v>85</v>
      </c>
      <c r="S15" s="16" t="s">
        <v>242</v>
      </c>
    </row>
    <row r="16" spans="1:19">
      <c r="A16" s="2" t="s">
        <v>26</v>
      </c>
      <c r="B16" s="2" t="s">
        <v>27</v>
      </c>
      <c r="C16" s="2" t="s">
        <v>104</v>
      </c>
      <c r="D16" s="2" t="s">
        <v>105</v>
      </c>
      <c r="E16" s="2" t="s">
        <v>106</v>
      </c>
      <c r="F16" s="2" t="s">
        <v>22</v>
      </c>
      <c r="G16" s="2" t="s">
        <v>107</v>
      </c>
      <c r="H16" s="2" t="s">
        <v>108</v>
      </c>
      <c r="I16" s="9">
        <v>46160</v>
      </c>
      <c r="J16" s="10">
        <v>60</v>
      </c>
      <c r="K16" s="9">
        <v>46220</v>
      </c>
      <c r="L16" s="11">
        <v>46275</v>
      </c>
      <c r="M16" s="10">
        <f t="shared" si="0"/>
        <v>55</v>
      </c>
      <c r="N16" s="12">
        <v>1179999</v>
      </c>
      <c r="O16" s="13">
        <v>1179999</v>
      </c>
      <c r="P16" s="14" t="s">
        <v>109</v>
      </c>
      <c r="Q16" s="8" t="s">
        <v>99</v>
      </c>
      <c r="R16" s="16" t="s">
        <v>237</v>
      </c>
      <c r="S16" s="16" t="s">
        <v>242</v>
      </c>
    </row>
    <row r="17" spans="1:19">
      <c r="A17" s="2" t="s">
        <v>26</v>
      </c>
      <c r="B17" s="2" t="s">
        <v>90</v>
      </c>
      <c r="C17" s="2" t="s">
        <v>110</v>
      </c>
      <c r="D17" s="2" t="s">
        <v>111</v>
      </c>
      <c r="E17" s="2" t="s">
        <v>112</v>
      </c>
      <c r="F17" s="2" t="s">
        <v>22</v>
      </c>
      <c r="G17" s="2" t="s">
        <v>113</v>
      </c>
      <c r="H17" s="2" t="s">
        <v>114</v>
      </c>
      <c r="I17" s="9">
        <v>46135</v>
      </c>
      <c r="J17" s="10">
        <v>90</v>
      </c>
      <c r="K17" s="9">
        <v>46225</v>
      </c>
      <c r="L17" s="11">
        <v>46275</v>
      </c>
      <c r="M17" s="10">
        <f t="shared" si="0"/>
        <v>50</v>
      </c>
      <c r="N17" s="12">
        <v>1189999</v>
      </c>
      <c r="O17" s="13">
        <v>1189999</v>
      </c>
      <c r="P17" s="14" t="s">
        <v>115</v>
      </c>
      <c r="Q17" s="8" t="s">
        <v>34</v>
      </c>
      <c r="R17" s="16" t="s">
        <v>85</v>
      </c>
      <c r="S17" s="16" t="s">
        <v>242</v>
      </c>
    </row>
    <row r="18" spans="1:19">
      <c r="A18" s="2" t="s">
        <v>26</v>
      </c>
      <c r="B18" s="2" t="s">
        <v>90</v>
      </c>
      <c r="C18" s="2" t="s">
        <v>116</v>
      </c>
      <c r="D18" s="2" t="s">
        <v>117</v>
      </c>
      <c r="E18" s="2" t="s">
        <v>118</v>
      </c>
      <c r="F18" s="2" t="s">
        <v>22</v>
      </c>
      <c r="G18" s="2">
        <v>9918402349</v>
      </c>
      <c r="H18" s="2" t="s">
        <v>119</v>
      </c>
      <c r="I18" s="9">
        <v>46167</v>
      </c>
      <c r="J18" s="10">
        <v>60</v>
      </c>
      <c r="K18" s="9">
        <v>46227</v>
      </c>
      <c r="L18" s="11">
        <v>46275</v>
      </c>
      <c r="M18" s="10">
        <f t="shared" si="0"/>
        <v>48</v>
      </c>
      <c r="N18" s="12">
        <v>975000</v>
      </c>
      <c r="O18" s="13">
        <v>975000</v>
      </c>
      <c r="P18" s="15" t="s">
        <v>120</v>
      </c>
      <c r="Q18" s="8" t="s">
        <v>99</v>
      </c>
      <c r="R18" s="16" t="s">
        <v>237</v>
      </c>
      <c r="S18" s="16" t="s">
        <v>242</v>
      </c>
    </row>
    <row r="19" spans="1:19">
      <c r="A19" s="2" t="s">
        <v>26</v>
      </c>
      <c r="B19" s="2" t="s">
        <v>90</v>
      </c>
      <c r="C19" s="2" t="s">
        <v>116</v>
      </c>
      <c r="D19" s="2" t="s">
        <v>117</v>
      </c>
      <c r="E19" s="2" t="s">
        <v>121</v>
      </c>
      <c r="F19" s="2" t="s">
        <v>22</v>
      </c>
      <c r="G19" s="2" t="s">
        <v>122</v>
      </c>
      <c r="H19" s="2" t="s">
        <v>123</v>
      </c>
      <c r="I19" s="9">
        <v>46169</v>
      </c>
      <c r="J19" s="10">
        <v>60</v>
      </c>
      <c r="K19" s="9">
        <v>46229</v>
      </c>
      <c r="L19" s="11">
        <v>46275</v>
      </c>
      <c r="M19" s="10">
        <f t="shared" si="0"/>
        <v>46</v>
      </c>
      <c r="N19" s="12">
        <v>1189999</v>
      </c>
      <c r="O19" s="13">
        <v>1189999</v>
      </c>
      <c r="P19" s="14" t="s">
        <v>124</v>
      </c>
      <c r="Q19" s="8" t="s">
        <v>34</v>
      </c>
      <c r="R19" s="16" t="s">
        <v>85</v>
      </c>
      <c r="S19" s="16" t="s">
        <v>236</v>
      </c>
    </row>
    <row r="20" spans="1:19">
      <c r="A20" s="2" t="s">
        <v>26</v>
      </c>
      <c r="B20" s="2" t="s">
        <v>27</v>
      </c>
      <c r="C20" s="2" t="s">
        <v>125</v>
      </c>
      <c r="D20" s="2" t="s">
        <v>126</v>
      </c>
      <c r="E20" s="2" t="s">
        <v>127</v>
      </c>
      <c r="F20" s="2" t="s">
        <v>22</v>
      </c>
      <c r="G20" s="2" t="s">
        <v>128</v>
      </c>
      <c r="H20" s="2" t="s">
        <v>129</v>
      </c>
      <c r="I20" s="9">
        <v>46169</v>
      </c>
      <c r="J20" s="10">
        <v>60</v>
      </c>
      <c r="K20" s="9">
        <v>46229</v>
      </c>
      <c r="L20" s="11">
        <v>46275</v>
      </c>
      <c r="M20" s="10">
        <f t="shared" si="0"/>
        <v>46</v>
      </c>
      <c r="N20" s="12">
        <v>1179999</v>
      </c>
      <c r="O20" s="13">
        <v>799999</v>
      </c>
      <c r="P20" s="14" t="s">
        <v>130</v>
      </c>
      <c r="Q20" s="8" t="s">
        <v>131</v>
      </c>
      <c r="R20" s="16" t="s">
        <v>235</v>
      </c>
      <c r="S20" s="16" t="s">
        <v>236</v>
      </c>
    </row>
    <row r="21" spans="1:19">
      <c r="A21" s="2" t="s">
        <v>17</v>
      </c>
      <c r="B21" s="2" t="s">
        <v>132</v>
      </c>
      <c r="C21" s="2" t="s">
        <v>133</v>
      </c>
      <c r="D21" s="2" t="s">
        <v>134</v>
      </c>
      <c r="E21" s="2" t="s">
        <v>135</v>
      </c>
      <c r="F21" s="2" t="s">
        <v>22</v>
      </c>
      <c r="G21" s="2" t="s">
        <v>136</v>
      </c>
      <c r="H21" s="2" t="s">
        <v>137</v>
      </c>
      <c r="I21" s="9">
        <v>46169</v>
      </c>
      <c r="J21" s="10">
        <v>60</v>
      </c>
      <c r="K21" s="9">
        <v>46229</v>
      </c>
      <c r="L21" s="11">
        <v>46275</v>
      </c>
      <c r="M21" s="10">
        <f t="shared" si="0"/>
        <v>46</v>
      </c>
      <c r="N21" s="12">
        <v>1189999</v>
      </c>
      <c r="O21" s="13">
        <v>1189999</v>
      </c>
      <c r="P21" s="14" t="s">
        <v>138</v>
      </c>
      <c r="Q21" s="16" t="s">
        <v>237</v>
      </c>
      <c r="R21" s="16" t="s">
        <v>237</v>
      </c>
      <c r="S21" s="16" t="s">
        <v>242</v>
      </c>
    </row>
    <row r="22" spans="1:19">
      <c r="A22" s="2" t="s">
        <v>17</v>
      </c>
      <c r="B22" s="2" t="s">
        <v>132</v>
      </c>
      <c r="C22" s="2" t="s">
        <v>139</v>
      </c>
      <c r="D22" s="2" t="s">
        <v>140</v>
      </c>
      <c r="E22" s="2" t="s">
        <v>141</v>
      </c>
      <c r="F22" s="2" t="s">
        <v>22</v>
      </c>
      <c r="G22" s="2">
        <v>9406500259</v>
      </c>
      <c r="H22" s="2" t="s">
        <v>142</v>
      </c>
      <c r="I22" s="9">
        <v>46169</v>
      </c>
      <c r="J22" s="10">
        <v>60</v>
      </c>
      <c r="K22" s="9">
        <v>46229</v>
      </c>
      <c r="L22" s="11">
        <v>46275</v>
      </c>
      <c r="M22" s="10">
        <f t="shared" si="0"/>
        <v>46</v>
      </c>
      <c r="N22" s="12">
        <v>1189999</v>
      </c>
      <c r="O22" s="13">
        <v>1189999</v>
      </c>
      <c r="P22" s="14" t="s">
        <v>143</v>
      </c>
      <c r="Q22" s="8" t="s">
        <v>34</v>
      </c>
      <c r="R22" s="16" t="s">
        <v>237</v>
      </c>
      <c r="S22" s="16" t="s">
        <v>242</v>
      </c>
    </row>
    <row r="23" spans="1:19">
      <c r="A23" s="2" t="s">
        <v>26</v>
      </c>
      <c r="B23" s="2" t="s">
        <v>90</v>
      </c>
      <c r="C23" s="2" t="s">
        <v>116</v>
      </c>
      <c r="D23" s="2" t="s">
        <v>117</v>
      </c>
      <c r="E23" s="2" t="s">
        <v>144</v>
      </c>
      <c r="F23" s="2" t="s">
        <v>22</v>
      </c>
      <c r="G23" s="2" t="s">
        <v>145</v>
      </c>
      <c r="H23" s="2" t="s">
        <v>146</v>
      </c>
      <c r="I23" s="9">
        <v>46140</v>
      </c>
      <c r="J23" s="10">
        <v>90</v>
      </c>
      <c r="K23" s="9">
        <v>46230</v>
      </c>
      <c r="L23" s="11">
        <v>46275</v>
      </c>
      <c r="M23" s="10">
        <f t="shared" si="0"/>
        <v>45</v>
      </c>
      <c r="N23" s="12">
        <v>1189999</v>
      </c>
      <c r="O23" s="13">
        <v>1189999</v>
      </c>
      <c r="P23" s="14" t="s">
        <v>147</v>
      </c>
      <c r="Q23" s="8" t="s">
        <v>99</v>
      </c>
      <c r="R23" s="16" t="s">
        <v>85</v>
      </c>
      <c r="S23" s="16" t="s">
        <v>236</v>
      </c>
    </row>
    <row r="24" spans="1:19">
      <c r="A24" s="2" t="s">
        <v>26</v>
      </c>
      <c r="B24" s="2" t="s">
        <v>90</v>
      </c>
      <c r="C24" s="2" t="s">
        <v>116</v>
      </c>
      <c r="D24" s="2" t="s">
        <v>117</v>
      </c>
      <c r="E24" s="2" t="s">
        <v>148</v>
      </c>
      <c r="F24" s="2" t="s">
        <v>22</v>
      </c>
      <c r="G24" s="2" t="s">
        <v>149</v>
      </c>
      <c r="H24" s="2" t="s">
        <v>150</v>
      </c>
      <c r="I24" s="9">
        <v>46141</v>
      </c>
      <c r="J24" s="10">
        <v>90</v>
      </c>
      <c r="K24" s="9">
        <v>46231</v>
      </c>
      <c r="L24" s="11">
        <v>46275</v>
      </c>
      <c r="M24" s="10">
        <f t="shared" si="0"/>
        <v>44</v>
      </c>
      <c r="N24" s="12">
        <v>1189999</v>
      </c>
      <c r="O24" s="13">
        <v>1189999</v>
      </c>
      <c r="P24" s="8" t="s">
        <v>151</v>
      </c>
      <c r="Q24" s="8" t="s">
        <v>99</v>
      </c>
      <c r="R24" s="16" t="s">
        <v>237</v>
      </c>
      <c r="S24" s="16" t="s">
        <v>236</v>
      </c>
    </row>
    <row r="25" spans="1:19">
      <c r="A25" s="2" t="s">
        <v>26</v>
      </c>
      <c r="B25" s="2" t="s">
        <v>90</v>
      </c>
      <c r="C25" s="2" t="s">
        <v>152</v>
      </c>
      <c r="D25" s="2" t="s">
        <v>153</v>
      </c>
      <c r="E25" s="2" t="s">
        <v>154</v>
      </c>
      <c r="F25" s="2" t="s">
        <v>22</v>
      </c>
      <c r="G25" s="2" t="s">
        <v>155</v>
      </c>
      <c r="H25" s="2" t="s">
        <v>156</v>
      </c>
      <c r="I25" s="9">
        <v>46141</v>
      </c>
      <c r="J25" s="10">
        <v>90</v>
      </c>
      <c r="K25" s="9">
        <v>46231</v>
      </c>
      <c r="L25" s="11">
        <v>46275</v>
      </c>
      <c r="M25" s="10">
        <f t="shared" si="0"/>
        <v>44</v>
      </c>
      <c r="N25" s="12">
        <v>975000</v>
      </c>
      <c r="O25" s="13">
        <v>975000</v>
      </c>
      <c r="P25" s="14" t="s">
        <v>143</v>
      </c>
      <c r="Q25" s="8" t="s">
        <v>34</v>
      </c>
      <c r="R25" s="16" t="s">
        <v>237</v>
      </c>
      <c r="S25" s="16" t="s">
        <v>242</v>
      </c>
    </row>
    <row r="26" spans="1:19">
      <c r="A26" s="2" t="s">
        <v>26</v>
      </c>
      <c r="B26" s="2" t="s">
        <v>27</v>
      </c>
      <c r="C26" s="2" t="s">
        <v>157</v>
      </c>
      <c r="D26" s="2" t="s">
        <v>158</v>
      </c>
      <c r="E26" s="2" t="s">
        <v>159</v>
      </c>
      <c r="F26" s="2" t="s">
        <v>22</v>
      </c>
      <c r="G26" s="2" t="s">
        <v>160</v>
      </c>
      <c r="H26" s="2" t="s">
        <v>161</v>
      </c>
      <c r="I26" s="9">
        <v>46171</v>
      </c>
      <c r="J26" s="10">
        <v>60</v>
      </c>
      <c r="K26" s="9">
        <v>46231</v>
      </c>
      <c r="L26" s="11">
        <v>46275</v>
      </c>
      <c r="M26" s="10">
        <f t="shared" si="0"/>
        <v>44</v>
      </c>
      <c r="N26" s="12">
        <v>1179999</v>
      </c>
      <c r="O26" s="13">
        <v>1179999</v>
      </c>
      <c r="P26" s="14" t="s">
        <v>162</v>
      </c>
      <c r="Q26" s="8" t="s">
        <v>34</v>
      </c>
      <c r="R26" s="8" t="s">
        <v>85</v>
      </c>
      <c r="S26" s="16" t="s">
        <v>242</v>
      </c>
    </row>
    <row r="27" spans="1:19">
      <c r="A27" s="2" t="s">
        <v>35</v>
      </c>
      <c r="B27" s="2" t="s">
        <v>163</v>
      </c>
      <c r="C27" s="2" t="s">
        <v>164</v>
      </c>
      <c r="D27" s="2" t="s">
        <v>165</v>
      </c>
      <c r="E27" s="2" t="s">
        <v>166</v>
      </c>
      <c r="F27" s="2" t="s">
        <v>22</v>
      </c>
      <c r="G27" s="2" t="s">
        <v>167</v>
      </c>
      <c r="H27" s="2" t="s">
        <v>168</v>
      </c>
      <c r="I27" s="9">
        <v>46171</v>
      </c>
      <c r="J27" s="10">
        <v>60</v>
      </c>
      <c r="K27" s="9">
        <v>46231</v>
      </c>
      <c r="L27" s="11">
        <v>46275</v>
      </c>
      <c r="M27" s="10">
        <f t="shared" si="0"/>
        <v>44</v>
      </c>
      <c r="N27" s="12">
        <v>1149999</v>
      </c>
      <c r="O27" s="13">
        <v>1149999</v>
      </c>
      <c r="P27" s="14" t="s">
        <v>169</v>
      </c>
      <c r="Q27" s="8" t="s">
        <v>34</v>
      </c>
      <c r="R27" s="8" t="s">
        <v>85</v>
      </c>
      <c r="S27" s="16" t="s">
        <v>236</v>
      </c>
    </row>
    <row r="28" spans="1:19">
      <c r="A28" s="2" t="s">
        <v>17</v>
      </c>
      <c r="B28" s="2" t="s">
        <v>132</v>
      </c>
      <c r="C28" s="2" t="s">
        <v>133</v>
      </c>
      <c r="D28" s="2" t="s">
        <v>134</v>
      </c>
      <c r="E28" s="2" t="s">
        <v>170</v>
      </c>
      <c r="F28" s="2" t="s">
        <v>22</v>
      </c>
      <c r="G28" s="2" t="s">
        <v>171</v>
      </c>
      <c r="H28" s="2" t="s">
        <v>172</v>
      </c>
      <c r="I28" s="9">
        <v>46171</v>
      </c>
      <c r="J28" s="10">
        <v>60</v>
      </c>
      <c r="K28" s="9">
        <v>46231</v>
      </c>
      <c r="L28" s="11">
        <v>46275</v>
      </c>
      <c r="M28" s="10">
        <f t="shared" si="0"/>
        <v>44</v>
      </c>
      <c r="N28" s="12">
        <v>1189999</v>
      </c>
      <c r="O28" s="13">
        <v>1189999</v>
      </c>
      <c r="P28" s="14" t="s">
        <v>173</v>
      </c>
      <c r="Q28" s="16" t="s">
        <v>34</v>
      </c>
      <c r="R28" s="8" t="s">
        <v>85</v>
      </c>
      <c r="S28" s="16" t="s">
        <v>242</v>
      </c>
    </row>
    <row r="29" spans="1:19">
      <c r="A29" s="2" t="s">
        <v>17</v>
      </c>
      <c r="B29" s="2" t="s">
        <v>132</v>
      </c>
      <c r="C29" s="2" t="s">
        <v>174</v>
      </c>
      <c r="D29" s="2" t="s">
        <v>175</v>
      </c>
      <c r="E29" s="2" t="s">
        <v>176</v>
      </c>
      <c r="F29" s="2" t="s">
        <v>22</v>
      </c>
      <c r="G29" s="2">
        <v>313111681</v>
      </c>
      <c r="H29" s="2" t="s">
        <v>177</v>
      </c>
      <c r="I29" s="9">
        <v>46171</v>
      </c>
      <c r="J29" s="10">
        <v>60</v>
      </c>
      <c r="K29" s="9">
        <v>46231</v>
      </c>
      <c r="L29" s="11">
        <v>46275</v>
      </c>
      <c r="M29" s="10">
        <f t="shared" si="0"/>
        <v>44</v>
      </c>
      <c r="N29" s="12">
        <v>5649999</v>
      </c>
      <c r="O29" s="13">
        <v>5649999</v>
      </c>
      <c r="P29" s="14" t="s">
        <v>178</v>
      </c>
      <c r="Q29" s="8" t="s">
        <v>34</v>
      </c>
      <c r="R29" s="8" t="s">
        <v>85</v>
      </c>
      <c r="S29" s="16" t="s">
        <v>242</v>
      </c>
    </row>
    <row r="30" spans="1:19">
      <c r="A30" s="2" t="s">
        <v>35</v>
      </c>
      <c r="B30" s="2" t="s">
        <v>70</v>
      </c>
      <c r="C30" s="2" t="s">
        <v>179</v>
      </c>
      <c r="D30" s="2" t="s">
        <v>180</v>
      </c>
      <c r="E30" s="2" t="s">
        <v>181</v>
      </c>
      <c r="F30" s="2" t="s">
        <v>22</v>
      </c>
      <c r="G30" s="2" t="s">
        <v>182</v>
      </c>
      <c r="H30" s="2" t="s">
        <v>183</v>
      </c>
      <c r="I30" s="9">
        <v>46173</v>
      </c>
      <c r="J30" s="10">
        <v>60</v>
      </c>
      <c r="K30" s="9">
        <v>46233</v>
      </c>
      <c r="L30" s="11">
        <v>46275</v>
      </c>
      <c r="M30" s="10">
        <f t="shared" si="0"/>
        <v>42</v>
      </c>
      <c r="N30" s="12">
        <v>5619999</v>
      </c>
      <c r="O30" s="13">
        <v>5619999</v>
      </c>
      <c r="P30" s="14" t="s">
        <v>184</v>
      </c>
      <c r="Q30" s="8" t="s">
        <v>99</v>
      </c>
      <c r="R30" s="16" t="s">
        <v>237</v>
      </c>
      <c r="S30" s="16" t="s">
        <v>236</v>
      </c>
    </row>
    <row r="31" spans="1:19">
      <c r="A31" s="2" t="s">
        <v>35</v>
      </c>
      <c r="B31" s="2" t="s">
        <v>70</v>
      </c>
      <c r="C31" s="2" t="s">
        <v>185</v>
      </c>
      <c r="D31" s="2" t="s">
        <v>186</v>
      </c>
      <c r="E31" s="2" t="s">
        <v>187</v>
      </c>
      <c r="F31" s="2" t="s">
        <v>22</v>
      </c>
      <c r="G31" s="2" t="s">
        <v>188</v>
      </c>
      <c r="H31" s="2" t="s">
        <v>189</v>
      </c>
      <c r="I31" s="9">
        <v>46173</v>
      </c>
      <c r="J31" s="10">
        <v>60</v>
      </c>
      <c r="K31" s="9">
        <v>46233</v>
      </c>
      <c r="L31" s="11">
        <v>46275</v>
      </c>
      <c r="M31" s="10">
        <f t="shared" si="0"/>
        <v>42</v>
      </c>
      <c r="N31" s="12">
        <v>5619999</v>
      </c>
      <c r="O31" s="13">
        <v>5619999</v>
      </c>
      <c r="P31" s="14" t="s">
        <v>190</v>
      </c>
      <c r="Q31" s="16" t="s">
        <v>34</v>
      </c>
      <c r="R31" s="16" t="s">
        <v>85</v>
      </c>
      <c r="S31" s="16" t="s">
        <v>242</v>
      </c>
    </row>
    <row r="32" spans="1:19">
      <c r="A32" s="2" t="s">
        <v>51</v>
      </c>
      <c r="B32" s="2" t="s">
        <v>52</v>
      </c>
      <c r="C32" s="2" t="s">
        <v>191</v>
      </c>
      <c r="D32" s="2" t="s">
        <v>192</v>
      </c>
      <c r="E32" s="2" t="s">
        <v>193</v>
      </c>
      <c r="F32" s="2" t="s">
        <v>22</v>
      </c>
      <c r="G32" s="2" t="s">
        <v>194</v>
      </c>
      <c r="H32" s="2" t="s">
        <v>195</v>
      </c>
      <c r="I32" s="9">
        <v>46173</v>
      </c>
      <c r="J32" s="10">
        <v>60</v>
      </c>
      <c r="K32" s="9">
        <v>46233</v>
      </c>
      <c r="L32" s="11">
        <v>46275</v>
      </c>
      <c r="M32" s="10">
        <f t="shared" si="0"/>
        <v>42</v>
      </c>
      <c r="N32" s="12">
        <v>1189999</v>
      </c>
      <c r="O32" s="13">
        <v>1189999</v>
      </c>
      <c r="P32" s="14" t="s">
        <v>196</v>
      </c>
      <c r="Q32" s="16" t="s">
        <v>34</v>
      </c>
      <c r="R32" s="16" t="s">
        <v>85</v>
      </c>
      <c r="S32" s="16" t="s">
        <v>242</v>
      </c>
    </row>
    <row r="33" spans="1:19">
      <c r="A33" s="2" t="s">
        <v>26</v>
      </c>
      <c r="B33" s="2" t="s">
        <v>27</v>
      </c>
      <c r="C33" s="2" t="s">
        <v>197</v>
      </c>
      <c r="D33" s="2" t="s">
        <v>198</v>
      </c>
      <c r="E33" s="2" t="s">
        <v>199</v>
      </c>
      <c r="F33" s="2" t="s">
        <v>22</v>
      </c>
      <c r="G33" s="2" t="s">
        <v>200</v>
      </c>
      <c r="H33" s="2" t="s">
        <v>201</v>
      </c>
      <c r="I33" s="9">
        <v>46161</v>
      </c>
      <c r="J33" s="10">
        <v>90</v>
      </c>
      <c r="K33" s="9">
        <v>46251</v>
      </c>
      <c r="L33" s="11">
        <v>46275</v>
      </c>
      <c r="M33" s="10">
        <f t="shared" si="0"/>
        <v>24</v>
      </c>
      <c r="N33" s="12">
        <v>1179999</v>
      </c>
      <c r="O33" s="13">
        <v>1179999</v>
      </c>
      <c r="P33" s="14" t="s">
        <v>202</v>
      </c>
      <c r="Q33" s="8" t="s">
        <v>34</v>
      </c>
      <c r="R33" s="16" t="s">
        <v>237</v>
      </c>
      <c r="S33" s="16" t="s">
        <v>242</v>
      </c>
    </row>
    <row r="34" spans="1:19">
      <c r="A34" s="2" t="s">
        <v>51</v>
      </c>
      <c r="B34" s="2" t="s">
        <v>203</v>
      </c>
      <c r="C34" s="2" t="s">
        <v>204</v>
      </c>
      <c r="D34" s="2" t="s">
        <v>205</v>
      </c>
      <c r="E34" s="2" t="s">
        <v>206</v>
      </c>
      <c r="F34" s="2" t="s">
        <v>22</v>
      </c>
      <c r="G34" s="2" t="s">
        <v>207</v>
      </c>
      <c r="H34" s="2" t="s">
        <v>208</v>
      </c>
      <c r="I34" s="9">
        <v>46191</v>
      </c>
      <c r="J34" s="10">
        <v>60</v>
      </c>
      <c r="K34" s="9">
        <v>46251</v>
      </c>
      <c r="L34" s="11">
        <v>46275</v>
      </c>
      <c r="M34" s="10">
        <f t="shared" si="0"/>
        <v>24</v>
      </c>
      <c r="N34" s="12">
        <v>975000</v>
      </c>
      <c r="O34" s="13">
        <v>975000</v>
      </c>
      <c r="P34" s="14" t="s">
        <v>209</v>
      </c>
      <c r="Q34" s="8" t="s">
        <v>34</v>
      </c>
      <c r="R34" s="8" t="s">
        <v>210</v>
      </c>
      <c r="S34" s="16" t="s">
        <v>242</v>
      </c>
    </row>
    <row r="35" spans="1:19">
      <c r="A35" s="2" t="s">
        <v>17</v>
      </c>
      <c r="B35" s="2" t="s">
        <v>132</v>
      </c>
      <c r="C35" s="2" t="s">
        <v>174</v>
      </c>
      <c r="D35" s="2" t="s">
        <v>175</v>
      </c>
      <c r="E35" s="2" t="s">
        <v>211</v>
      </c>
      <c r="F35" s="2" t="s">
        <v>22</v>
      </c>
      <c r="G35" s="2" t="s">
        <v>212</v>
      </c>
      <c r="H35" s="2" t="s">
        <v>213</v>
      </c>
      <c r="I35" s="9">
        <v>46199</v>
      </c>
      <c r="J35" s="10">
        <v>60</v>
      </c>
      <c r="K35" s="9">
        <v>46259</v>
      </c>
      <c r="L35" s="11">
        <v>46275</v>
      </c>
      <c r="M35" s="10">
        <f t="shared" si="0"/>
        <v>16</v>
      </c>
      <c r="N35" s="12">
        <v>1189999</v>
      </c>
      <c r="O35" s="13">
        <v>1189999</v>
      </c>
      <c r="P35" s="14" t="s">
        <v>214</v>
      </c>
      <c r="Q35" s="16" t="s">
        <v>34</v>
      </c>
      <c r="R35" s="16" t="s">
        <v>235</v>
      </c>
      <c r="S35" s="16" t="s">
        <v>242</v>
      </c>
    </row>
    <row r="36" spans="1:19">
      <c r="A36" s="2" t="s">
        <v>26</v>
      </c>
      <c r="B36" s="2" t="s">
        <v>27</v>
      </c>
      <c r="C36" s="2" t="s">
        <v>215</v>
      </c>
      <c r="D36" s="2" t="s">
        <v>216</v>
      </c>
      <c r="E36" s="2" t="s">
        <v>217</v>
      </c>
      <c r="F36" s="2" t="s">
        <v>22</v>
      </c>
      <c r="G36" s="2" t="s">
        <v>218</v>
      </c>
      <c r="H36" s="2" t="s">
        <v>219</v>
      </c>
      <c r="I36" s="9">
        <v>46200</v>
      </c>
      <c r="J36" s="10">
        <v>60</v>
      </c>
      <c r="K36" s="9">
        <v>46260</v>
      </c>
      <c r="L36" s="11">
        <v>46275</v>
      </c>
      <c r="M36" s="10">
        <f t="shared" si="0"/>
        <v>15</v>
      </c>
      <c r="N36" s="12">
        <v>1180003</v>
      </c>
      <c r="O36" s="13">
        <v>1180003</v>
      </c>
      <c r="P36" s="14" t="s">
        <v>220</v>
      </c>
      <c r="Q36" s="16" t="s">
        <v>34</v>
      </c>
      <c r="R36" s="16" t="s">
        <v>235</v>
      </c>
      <c r="S36" s="16" t="s">
        <v>236</v>
      </c>
    </row>
    <row r="37" spans="1:19">
      <c r="A37" s="2" t="s">
        <v>51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22</v>
      </c>
      <c r="G37" s="2" t="s">
        <v>225</v>
      </c>
      <c r="H37" s="2" t="s">
        <v>226</v>
      </c>
      <c r="I37" s="9">
        <v>46173</v>
      </c>
      <c r="J37" s="10">
        <v>90</v>
      </c>
      <c r="K37" s="9">
        <v>46263</v>
      </c>
      <c r="L37" s="11">
        <v>46275</v>
      </c>
      <c r="M37" s="10">
        <f t="shared" si="0"/>
        <v>12</v>
      </c>
      <c r="N37" s="12">
        <v>1189999</v>
      </c>
      <c r="O37" s="13">
        <v>713999</v>
      </c>
      <c r="P37" s="14" t="s">
        <v>227</v>
      </c>
      <c r="Q37" s="8" t="s">
        <v>34</v>
      </c>
      <c r="R37" s="16" t="s">
        <v>241</v>
      </c>
      <c r="S37" s="16" t="s">
        <v>242</v>
      </c>
    </row>
    <row r="38" spans="1:19">
      <c r="A38" s="2" t="s">
        <v>51</v>
      </c>
      <c r="B38" s="2" t="s">
        <v>52</v>
      </c>
      <c r="C38" s="2" t="s">
        <v>228</v>
      </c>
      <c r="D38" s="2" t="s">
        <v>229</v>
      </c>
      <c r="E38" s="2" t="s">
        <v>230</v>
      </c>
      <c r="F38" s="2" t="s">
        <v>22</v>
      </c>
      <c r="G38" s="2" t="s">
        <v>231</v>
      </c>
      <c r="H38" s="2" t="s">
        <v>232</v>
      </c>
      <c r="I38" s="9">
        <v>46203</v>
      </c>
      <c r="J38" s="10">
        <v>60</v>
      </c>
      <c r="K38" s="9">
        <v>46263</v>
      </c>
      <c r="L38" s="11">
        <v>46275</v>
      </c>
      <c r="M38" s="10">
        <f t="shared" si="0"/>
        <v>12</v>
      </c>
      <c r="N38" s="12">
        <v>1189999</v>
      </c>
      <c r="O38" s="13">
        <v>1189999</v>
      </c>
      <c r="P38" s="14" t="s">
        <v>233</v>
      </c>
      <c r="Q38" s="16" t="s">
        <v>237</v>
      </c>
      <c r="R38" s="16" t="s">
        <v>237</v>
      </c>
      <c r="S38" s="16" t="s">
        <v>242</v>
      </c>
    </row>
  </sheetData>
  <conditionalFormatting sqref="E1:E38">
    <cfRule type="duplicateValues" dxfId="2" priority="4" stopIfTrue="1"/>
  </conditionalFormatting>
  <conditionalFormatting sqref="P30">
    <cfRule type="duplicateValues" dxfId="1" priority="2" stopIfTrue="1"/>
  </conditionalFormatting>
  <conditionalFormatting sqref="S1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Dihan Kumaranayake</cp:lastModifiedBy>
  <dcterms:created xsi:type="dcterms:W3CDTF">2026-09-15T07:55:00Z</dcterms:created>
  <dcterms:modified xsi:type="dcterms:W3CDTF">2026-09-29T10:06:11Z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6AE816D2838A4F08A8B0461770FC8108</vt:lpwstr>
  </property>
  <property fmtid="{D5CDD505-2E9C-101B-9397-08002B2CF9AE}" pid="3" name="KSOProductBuildVer">
    <vt:lpwstr>1033-11.2.0.10330</vt:lpwstr>
  </property>
</Properties>
</file>